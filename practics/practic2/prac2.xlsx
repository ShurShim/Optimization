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1" l="1"/>
  <c r="D36" i="1" l="1"/>
  <c r="D35" i="1" l="1"/>
  <c r="F35" i="1"/>
  <c r="G35" i="1"/>
  <c r="H35" i="1"/>
  <c r="I35" i="1"/>
  <c r="J35" i="1"/>
  <c r="K35" i="1"/>
  <c r="L35" i="1"/>
  <c r="E35" i="1"/>
  <c r="D30" i="1"/>
  <c r="F30" i="1"/>
  <c r="G30" i="1"/>
  <c r="H30" i="1"/>
  <c r="I30" i="1"/>
  <c r="J30" i="1"/>
  <c r="K30" i="1"/>
  <c r="L30" i="1"/>
  <c r="E30" i="1"/>
  <c r="D31" i="1"/>
  <c r="F31" i="1"/>
  <c r="G31" i="1"/>
  <c r="H31" i="1"/>
  <c r="I31" i="1"/>
  <c r="J31" i="1"/>
  <c r="K31" i="1"/>
  <c r="L31" i="1"/>
  <c r="E31" i="1"/>
  <c r="D32" i="1"/>
  <c r="F32" i="1"/>
  <c r="G32" i="1"/>
  <c r="H32" i="1"/>
  <c r="J32" i="1"/>
  <c r="K32" i="1"/>
  <c r="L32" i="1"/>
  <c r="E32" i="1"/>
  <c r="D33" i="1"/>
  <c r="F33" i="1"/>
  <c r="G33" i="1"/>
  <c r="H33" i="1"/>
  <c r="I33" i="1"/>
  <c r="J33" i="1"/>
  <c r="K33" i="1"/>
  <c r="L33" i="1"/>
  <c r="E33" i="1"/>
  <c r="B34" i="1"/>
  <c r="C34" i="1"/>
  <c r="D34" i="1"/>
  <c r="F34" i="1"/>
  <c r="G34" i="1"/>
  <c r="H34" i="1"/>
  <c r="I34" i="1"/>
  <c r="J34" i="1"/>
  <c r="K34" i="1"/>
  <c r="L34" i="1"/>
  <c r="E34" i="1"/>
  <c r="D26" i="1"/>
  <c r="E26" i="1"/>
  <c r="F26" i="1"/>
  <c r="G26" i="1"/>
  <c r="H26" i="1"/>
  <c r="I26" i="1"/>
  <c r="J26" i="1"/>
  <c r="K26" i="1"/>
  <c r="L26" i="1"/>
  <c r="C26" i="1"/>
  <c r="D25" i="1"/>
  <c r="E25" i="1"/>
  <c r="F25" i="1"/>
  <c r="G25" i="1"/>
  <c r="H25" i="1"/>
  <c r="I25" i="1"/>
  <c r="J25" i="1"/>
  <c r="K25" i="1"/>
  <c r="L25" i="1"/>
  <c r="C25" i="1"/>
  <c r="D24" i="1"/>
  <c r="E24" i="1"/>
  <c r="F24" i="1"/>
  <c r="G24" i="1"/>
  <c r="H24" i="1"/>
  <c r="I24" i="1"/>
  <c r="J24" i="1"/>
  <c r="K24" i="1"/>
  <c r="L24" i="1"/>
  <c r="C24" i="1"/>
  <c r="D23" i="1"/>
  <c r="E23" i="1"/>
  <c r="F23" i="1"/>
  <c r="G23" i="1"/>
  <c r="H23" i="1"/>
  <c r="I23" i="1"/>
  <c r="I32" i="1" s="1"/>
  <c r="J23" i="1"/>
  <c r="K23" i="1"/>
  <c r="L23" i="1"/>
  <c r="C23" i="1"/>
  <c r="D21" i="1"/>
  <c r="E21" i="1"/>
  <c r="F21" i="1"/>
  <c r="G21" i="1"/>
  <c r="H21" i="1"/>
  <c r="I21" i="1"/>
  <c r="J21" i="1"/>
  <c r="K21" i="1"/>
  <c r="L21" i="1"/>
  <c r="C21" i="1"/>
  <c r="D22" i="1"/>
  <c r="E22" i="1"/>
  <c r="F22" i="1"/>
  <c r="G22" i="1"/>
  <c r="H22" i="1"/>
  <c r="I22" i="1"/>
  <c r="J22" i="1"/>
  <c r="K22" i="1"/>
  <c r="L22" i="1"/>
  <c r="C22" i="1"/>
  <c r="I12" i="1"/>
  <c r="C17" i="1"/>
  <c r="D17" i="1"/>
  <c r="E17" i="1"/>
  <c r="F17" i="1"/>
  <c r="G17" i="1"/>
  <c r="H17" i="1"/>
  <c r="I17" i="1"/>
  <c r="J17" i="1"/>
  <c r="K17" i="1"/>
  <c r="L17" i="1"/>
  <c r="B17" i="1"/>
  <c r="C16" i="1"/>
  <c r="D16" i="1"/>
  <c r="E16" i="1"/>
  <c r="F16" i="1"/>
  <c r="G16" i="1"/>
  <c r="H16" i="1"/>
  <c r="I16" i="1"/>
  <c r="J16" i="1"/>
  <c r="K16" i="1"/>
  <c r="L16" i="1"/>
  <c r="B16" i="1"/>
  <c r="C15" i="1"/>
  <c r="D15" i="1"/>
  <c r="E15" i="1"/>
  <c r="F15" i="1"/>
  <c r="G15" i="1"/>
  <c r="H15" i="1"/>
  <c r="I15" i="1"/>
  <c r="J15" i="1"/>
  <c r="K15" i="1"/>
  <c r="L15" i="1"/>
  <c r="B15" i="1"/>
  <c r="C14" i="1"/>
  <c r="D14" i="1"/>
  <c r="E14" i="1"/>
  <c r="F14" i="1"/>
  <c r="G14" i="1"/>
  <c r="H14" i="1"/>
  <c r="J14" i="1"/>
  <c r="K14" i="1"/>
  <c r="L14" i="1"/>
  <c r="B14" i="1"/>
  <c r="C13" i="1"/>
  <c r="D13" i="1"/>
  <c r="E13" i="1"/>
  <c r="F13" i="1"/>
  <c r="G13" i="1"/>
  <c r="H13" i="1"/>
  <c r="I13" i="1"/>
  <c r="J13" i="1"/>
  <c r="K13" i="1"/>
  <c r="L13" i="1"/>
  <c r="B13" i="1"/>
  <c r="C12" i="1"/>
  <c r="D12" i="1"/>
  <c r="E12" i="1"/>
  <c r="F12" i="1"/>
  <c r="G12" i="1"/>
  <c r="H12" i="1"/>
  <c r="J12" i="1"/>
  <c r="K12" i="1"/>
  <c r="L12" i="1"/>
  <c r="B12" i="1"/>
</calcChain>
</file>

<file path=xl/sharedStrings.xml><?xml version="1.0" encoding="utf-8"?>
<sst xmlns="http://schemas.openxmlformats.org/spreadsheetml/2006/main" count="75" uniqueCount="17">
  <si>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</si>
  <si>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</si>
  <si>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</si>
  <si>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</si>
  <si>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</si>
  <si>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</si>
  <si>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</si>
  <si>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</si>
  <si>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</si>
  <si>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</si>
  <si>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b</t>
  </si>
  <si>
    <t>базис</t>
  </si>
  <si>
    <t>W</t>
  </si>
  <si>
    <t>?</t>
  </si>
  <si>
    <t>избавляемся от отрицательных свободных членов</t>
  </si>
  <si>
    <t>C</t>
  </si>
  <si>
    <t>дельта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</si>
</sst>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58"/>
  <sheetViews>
    <sheetView tabSelected="1" topLeftCell="A23" zoomScale="84" zoomScaleNormal="90" workbookViewId="0">
      <selection activeCell="M37" sqref="A37:M37"/>
    </sheetView>
  </sheetViews>
  <sheetFormatPr defaultRowHeight="13.8" x14ac:dyDescent="0.3"/>
  <cols>
    <col min="1" max="1" width="10.21875" style="1" customWidth="1"/>
    <col min="2" max="2" width="8.88671875" style="1"/>
    <col min="3" max="3" width="9" style="1" customWidth="1"/>
    <col min="4" max="4" width="9.88671875" style="1" customWidth="1"/>
    <col min="5" max="12" width="8.88671875" style="1"/>
    <col min="13" max="13" width="22.77734375" style="1" customWidth="1"/>
    <col min="14" max="16384" width="8.88671875" style="1"/>
  </cols>
  <sheetData>
    <row r="2" spans="1:12" x14ac:dyDescent="0.3">
      <c r="A2" s="2" t="s">
        <v>11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</row>
    <row r="3" spans="1:12" x14ac:dyDescent="0.3">
      <c r="A3" s="2" t="s">
        <v>13</v>
      </c>
      <c r="B3" s="3">
        <v>20</v>
      </c>
      <c r="C3" s="3">
        <v>14</v>
      </c>
      <c r="D3" s="3">
        <v>17</v>
      </c>
      <c r="E3" s="3">
        <v>17</v>
      </c>
      <c r="F3" s="3">
        <v>20</v>
      </c>
      <c r="G3" s="3">
        <v>21</v>
      </c>
      <c r="H3" s="3">
        <v>17</v>
      </c>
      <c r="I3" s="4">
        <v>0</v>
      </c>
      <c r="J3" s="4">
        <v>0</v>
      </c>
      <c r="K3" s="4">
        <v>0</v>
      </c>
      <c r="L3" s="3">
        <v>131</v>
      </c>
    </row>
    <row r="4" spans="1:12" x14ac:dyDescent="0.3">
      <c r="A4" s="2" t="s">
        <v>13</v>
      </c>
      <c r="B4" s="3">
        <v>2</v>
      </c>
      <c r="C4" s="3">
        <v>3</v>
      </c>
      <c r="D4" s="3">
        <v>12</v>
      </c>
      <c r="E4" s="3">
        <v>14</v>
      </c>
      <c r="F4" s="3">
        <v>1</v>
      </c>
      <c r="G4" s="3">
        <v>-1</v>
      </c>
      <c r="H4" s="3">
        <v>3</v>
      </c>
      <c r="I4" s="4">
        <v>0</v>
      </c>
      <c r="J4" s="4">
        <v>0</v>
      </c>
      <c r="K4" s="4">
        <v>0</v>
      </c>
      <c r="L4" s="3">
        <v>42</v>
      </c>
    </row>
    <row r="5" spans="1:12" x14ac:dyDescent="0.3">
      <c r="A5" s="2" t="s">
        <v>7</v>
      </c>
      <c r="B5" s="3">
        <v>-30</v>
      </c>
      <c r="C5" s="3">
        <v>-18</v>
      </c>
      <c r="D5" s="3">
        <v>-29</v>
      </c>
      <c r="E5" s="3">
        <v>7</v>
      </c>
      <c r="F5" s="3">
        <v>-4</v>
      </c>
      <c r="G5" s="3">
        <v>-10</v>
      </c>
      <c r="H5" s="3">
        <v>-25</v>
      </c>
      <c r="I5" s="4">
        <v>1</v>
      </c>
      <c r="J5" s="4">
        <v>0</v>
      </c>
      <c r="K5" s="4">
        <v>0</v>
      </c>
      <c r="L5" s="3">
        <v>-102</v>
      </c>
    </row>
    <row r="6" spans="1:12" x14ac:dyDescent="0.3">
      <c r="A6" s="2" t="s">
        <v>8</v>
      </c>
      <c r="B6" s="3">
        <v>2</v>
      </c>
      <c r="C6" s="3">
        <v>-25</v>
      </c>
      <c r="D6" s="3">
        <v>7</v>
      </c>
      <c r="E6" s="3">
        <v>8</v>
      </c>
      <c r="F6" s="3">
        <v>9</v>
      </c>
      <c r="G6" s="3">
        <v>-10</v>
      </c>
      <c r="H6" s="3">
        <v>-24</v>
      </c>
      <c r="I6" s="4">
        <v>0</v>
      </c>
      <c r="J6" s="4">
        <v>1</v>
      </c>
      <c r="K6" s="4">
        <v>0</v>
      </c>
      <c r="L6" s="3">
        <v>-29</v>
      </c>
    </row>
    <row r="7" spans="1:12" x14ac:dyDescent="0.3">
      <c r="A7" s="2" t="s">
        <v>9</v>
      </c>
      <c r="B7" s="3">
        <v>17</v>
      </c>
      <c r="C7" s="3">
        <v>23</v>
      </c>
      <c r="D7" s="3">
        <v>25</v>
      </c>
      <c r="E7" s="3">
        <v>-5</v>
      </c>
      <c r="F7" s="3">
        <v>20</v>
      </c>
      <c r="G7" s="3">
        <v>14</v>
      </c>
      <c r="H7" s="3">
        <v>28</v>
      </c>
      <c r="I7" s="4">
        <v>0</v>
      </c>
      <c r="J7" s="4">
        <v>0</v>
      </c>
      <c r="K7" s="4">
        <v>1</v>
      </c>
      <c r="L7" s="3">
        <v>129</v>
      </c>
    </row>
    <row r="8" spans="1:12" x14ac:dyDescent="0.3">
      <c r="A8" s="2" t="s">
        <v>12</v>
      </c>
      <c r="B8" s="3">
        <v>-13</v>
      </c>
      <c r="C8" s="3">
        <v>-15</v>
      </c>
      <c r="D8" s="3">
        <v>-24</v>
      </c>
      <c r="E8" s="3">
        <v>-27</v>
      </c>
      <c r="F8" s="3">
        <v>-6</v>
      </c>
      <c r="G8" s="3">
        <v>-13</v>
      </c>
      <c r="H8" s="3">
        <v>-14</v>
      </c>
      <c r="I8" s="4">
        <v>0</v>
      </c>
      <c r="J8" s="4">
        <v>0</v>
      </c>
      <c r="K8" s="4">
        <v>0</v>
      </c>
      <c r="L8" s="3">
        <v>0</v>
      </c>
    </row>
    <row r="9" spans="1:12" x14ac:dyDescent="0.3">
      <c r="A9" s="1" t="s">
        <v>15</v>
      </c>
      <c r="B9" s="1">
        <v>13</v>
      </c>
      <c r="C9" s="1">
        <v>15</v>
      </c>
      <c r="D9" s="1">
        <v>24</v>
      </c>
      <c r="E9" s="1">
        <v>27</v>
      </c>
      <c r="F9" s="1">
        <v>6</v>
      </c>
      <c r="G9" s="1">
        <v>13</v>
      </c>
      <c r="H9" s="1">
        <v>14</v>
      </c>
      <c r="I9" s="1">
        <v>0</v>
      </c>
      <c r="J9" s="1">
        <v>0</v>
      </c>
      <c r="K9" s="1">
        <v>0</v>
      </c>
    </row>
    <row r="11" spans="1:12" x14ac:dyDescent="0.3">
      <c r="A11" s="2" t="s">
        <v>11</v>
      </c>
      <c r="B11" s="2" t="s">
        <v>0</v>
      </c>
      <c r="C11" s="2" t="s">
        <v>1</v>
      </c>
      <c r="D11" s="2" t="s">
        <v>2</v>
      </c>
      <c r="E11" s="2" t="s">
        <v>3</v>
      </c>
      <c r="F11" s="2" t="s">
        <v>4</v>
      </c>
      <c r="G11" s="2" t="s">
        <v>5</v>
      </c>
      <c r="H11" s="2" t="s">
        <v>6</v>
      </c>
      <c r="I11" s="2" t="s">
        <v>7</v>
      </c>
      <c r="J11" s="2" t="s">
        <v>8</v>
      </c>
      <c r="K11" s="2" t="s">
        <v>9</v>
      </c>
      <c r="L11" s="2" t="s">
        <v>10</v>
      </c>
    </row>
    <row r="12" spans="1:12" x14ac:dyDescent="0.3">
      <c r="A12" s="2" t="s">
        <v>0</v>
      </c>
      <c r="B12" s="4">
        <f>B3/20</f>
        <v>1</v>
      </c>
      <c r="C12" s="3">
        <f t="shared" ref="C12:L12" si="0">C3/20</f>
        <v>0.7</v>
      </c>
      <c r="D12" s="3">
        <f t="shared" si="0"/>
        <v>0.85</v>
      </c>
      <c r="E12" s="3">
        <f t="shared" si="0"/>
        <v>0.85</v>
      </c>
      <c r="F12" s="3">
        <f t="shared" si="0"/>
        <v>1</v>
      </c>
      <c r="G12" s="3">
        <f t="shared" si="0"/>
        <v>1.05</v>
      </c>
      <c r="H12" s="3">
        <f t="shared" si="0"/>
        <v>0.85</v>
      </c>
      <c r="I12" s="4">
        <f>I3/20</f>
        <v>0</v>
      </c>
      <c r="J12" s="4">
        <f t="shared" si="0"/>
        <v>0</v>
      </c>
      <c r="K12" s="4">
        <f t="shared" si="0"/>
        <v>0</v>
      </c>
      <c r="L12" s="3">
        <f t="shared" si="0"/>
        <v>6.55</v>
      </c>
    </row>
    <row r="13" spans="1:12" x14ac:dyDescent="0.3">
      <c r="A13" s="2" t="s">
        <v>13</v>
      </c>
      <c r="B13" s="4">
        <f>B4-B12*2</f>
        <v>0</v>
      </c>
      <c r="C13" s="3">
        <f t="shared" ref="C13:L13" si="1">C4-C12*2</f>
        <v>1.6</v>
      </c>
      <c r="D13" s="3">
        <f t="shared" si="1"/>
        <v>10.3</v>
      </c>
      <c r="E13" s="3">
        <f t="shared" si="1"/>
        <v>12.3</v>
      </c>
      <c r="F13" s="3">
        <f t="shared" si="1"/>
        <v>-1</v>
      </c>
      <c r="G13" s="3">
        <f t="shared" si="1"/>
        <v>-3.1</v>
      </c>
      <c r="H13" s="3">
        <f t="shared" si="1"/>
        <v>1.3</v>
      </c>
      <c r="I13" s="4">
        <f t="shared" si="1"/>
        <v>0</v>
      </c>
      <c r="J13" s="4">
        <f t="shared" si="1"/>
        <v>0</v>
      </c>
      <c r="K13" s="4">
        <f t="shared" si="1"/>
        <v>0</v>
      </c>
      <c r="L13" s="3">
        <f t="shared" si="1"/>
        <v>28.9</v>
      </c>
    </row>
    <row r="14" spans="1:12" x14ac:dyDescent="0.3">
      <c r="A14" s="2" t="s">
        <v>7</v>
      </c>
      <c r="B14" s="4">
        <f>B5-B12*(-30)</f>
        <v>0</v>
      </c>
      <c r="C14" s="3">
        <f t="shared" ref="C14:L14" si="2">C5-C12*(-30)</f>
        <v>3</v>
      </c>
      <c r="D14" s="3">
        <f t="shared" si="2"/>
        <v>-3.5</v>
      </c>
      <c r="E14" s="3">
        <f t="shared" si="2"/>
        <v>32.5</v>
      </c>
      <c r="F14" s="3">
        <f t="shared" si="2"/>
        <v>26</v>
      </c>
      <c r="G14" s="3">
        <f t="shared" si="2"/>
        <v>21.5</v>
      </c>
      <c r="H14" s="3">
        <f t="shared" si="2"/>
        <v>0.5</v>
      </c>
      <c r="I14" s="4">
        <f t="shared" si="2"/>
        <v>1</v>
      </c>
      <c r="J14" s="4">
        <f t="shared" si="2"/>
        <v>0</v>
      </c>
      <c r="K14" s="4">
        <f t="shared" si="2"/>
        <v>0</v>
      </c>
      <c r="L14" s="3">
        <f t="shared" si="2"/>
        <v>94.5</v>
      </c>
    </row>
    <row r="15" spans="1:12" x14ac:dyDescent="0.3">
      <c r="A15" s="2" t="s">
        <v>8</v>
      </c>
      <c r="B15" s="4">
        <f>B6-B12*2</f>
        <v>0</v>
      </c>
      <c r="C15" s="3">
        <f t="shared" ref="C15:L15" si="3">C6-C12*2</f>
        <v>-26.4</v>
      </c>
      <c r="D15" s="3">
        <f t="shared" si="3"/>
        <v>5.3</v>
      </c>
      <c r="E15" s="3">
        <f t="shared" si="3"/>
        <v>6.3</v>
      </c>
      <c r="F15" s="3">
        <f t="shared" si="3"/>
        <v>7</v>
      </c>
      <c r="G15" s="3">
        <f t="shared" si="3"/>
        <v>-12.1</v>
      </c>
      <c r="H15" s="3">
        <f t="shared" si="3"/>
        <v>-25.7</v>
      </c>
      <c r="I15" s="4">
        <f t="shared" si="3"/>
        <v>0</v>
      </c>
      <c r="J15" s="4">
        <f t="shared" si="3"/>
        <v>1</v>
      </c>
      <c r="K15" s="4">
        <f t="shared" si="3"/>
        <v>0</v>
      </c>
      <c r="L15" s="3">
        <f t="shared" si="3"/>
        <v>-42.1</v>
      </c>
    </row>
    <row r="16" spans="1:12" x14ac:dyDescent="0.3">
      <c r="A16" s="2" t="s">
        <v>9</v>
      </c>
      <c r="B16" s="4">
        <f>B7-B12*17</f>
        <v>0</v>
      </c>
      <c r="C16" s="3">
        <f t="shared" ref="C16:L16" si="4">C7-C12*17</f>
        <v>11.100000000000001</v>
      </c>
      <c r="D16" s="3">
        <f t="shared" si="4"/>
        <v>10.55</v>
      </c>
      <c r="E16" s="3">
        <f t="shared" si="4"/>
        <v>-19.45</v>
      </c>
      <c r="F16" s="3">
        <f t="shared" si="4"/>
        <v>3</v>
      </c>
      <c r="G16" s="3">
        <f t="shared" si="4"/>
        <v>-3.8500000000000014</v>
      </c>
      <c r="H16" s="3">
        <f t="shared" si="4"/>
        <v>13.55</v>
      </c>
      <c r="I16" s="4">
        <f t="shared" si="4"/>
        <v>0</v>
      </c>
      <c r="J16" s="4">
        <f t="shared" si="4"/>
        <v>0</v>
      </c>
      <c r="K16" s="4">
        <f t="shared" si="4"/>
        <v>1</v>
      </c>
      <c r="L16" s="3">
        <f t="shared" si="4"/>
        <v>17.650000000000006</v>
      </c>
    </row>
    <row r="17" spans="1:12" x14ac:dyDescent="0.3">
      <c r="A17" s="2" t="s">
        <v>12</v>
      </c>
      <c r="B17" s="4">
        <f>B8-B12*(-13)</f>
        <v>0</v>
      </c>
      <c r="C17" s="3">
        <f t="shared" ref="C17:L17" si="5">C8-C12*(-13)</f>
        <v>-5.9</v>
      </c>
      <c r="D17" s="3">
        <f t="shared" si="5"/>
        <v>-12.950000000000001</v>
      </c>
      <c r="E17" s="3">
        <f t="shared" si="5"/>
        <v>-15.950000000000001</v>
      </c>
      <c r="F17" s="3">
        <f t="shared" si="5"/>
        <v>7</v>
      </c>
      <c r="G17" s="3">
        <f t="shared" si="5"/>
        <v>0.65000000000000036</v>
      </c>
      <c r="H17" s="3">
        <f t="shared" si="5"/>
        <v>-2.9500000000000011</v>
      </c>
      <c r="I17" s="4">
        <f t="shared" si="5"/>
        <v>0</v>
      </c>
      <c r="J17" s="4">
        <f t="shared" si="5"/>
        <v>0</v>
      </c>
      <c r="K17" s="4">
        <f t="shared" si="5"/>
        <v>0</v>
      </c>
      <c r="L17" s="3">
        <f t="shared" si="5"/>
        <v>85.149999999999991</v>
      </c>
    </row>
    <row r="19" spans="1:12" x14ac:dyDescent="0.3">
      <c r="A19" s="13" t="s">
        <v>14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spans="1:12" x14ac:dyDescent="0.3">
      <c r="A20" s="2" t="s">
        <v>11</v>
      </c>
      <c r="B20" s="2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H20" s="2" t="s">
        <v>6</v>
      </c>
      <c r="I20" s="2" t="s">
        <v>7</v>
      </c>
      <c r="J20" s="2" t="s">
        <v>8</v>
      </c>
      <c r="K20" s="2" t="s">
        <v>9</v>
      </c>
      <c r="L20" s="2" t="s">
        <v>10</v>
      </c>
    </row>
    <row r="21" spans="1:12" x14ac:dyDescent="0.3">
      <c r="A21" s="2" t="s">
        <v>0</v>
      </c>
      <c r="B21" s="5">
        <v>1</v>
      </c>
      <c r="C21" s="5">
        <f>C12-C22*0.7</f>
        <v>0</v>
      </c>
      <c r="D21" s="3">
        <f t="shared" ref="D21:L21" si="6">D12-D22*0.7</f>
        <v>-3.6562499999999996</v>
      </c>
      <c r="E21" s="3">
        <f t="shared" si="6"/>
        <v>-4.53125</v>
      </c>
      <c r="F21" s="3">
        <f t="shared" si="6"/>
        <v>1.4375</v>
      </c>
      <c r="G21" s="3">
        <f t="shared" si="6"/>
        <v>2.40625</v>
      </c>
      <c r="H21" s="3">
        <f t="shared" si="6"/>
        <v>0.28125</v>
      </c>
      <c r="I21" s="5">
        <f t="shared" si="6"/>
        <v>0</v>
      </c>
      <c r="J21" s="5">
        <f t="shared" si="6"/>
        <v>0</v>
      </c>
      <c r="K21" s="5">
        <f t="shared" si="6"/>
        <v>0</v>
      </c>
      <c r="L21" s="3">
        <f t="shared" si="6"/>
        <v>-6.0937499999999973</v>
      </c>
    </row>
    <row r="22" spans="1:12" x14ac:dyDescent="0.3">
      <c r="A22" s="2" t="s">
        <v>1</v>
      </c>
      <c r="B22" s="5">
        <v>0</v>
      </c>
      <c r="C22" s="5">
        <f>C13/1.6</f>
        <v>1</v>
      </c>
      <c r="D22" s="3">
        <f t="shared" ref="D22:L22" si="7">D13/1.6</f>
        <v>6.4375</v>
      </c>
      <c r="E22" s="3">
        <f t="shared" si="7"/>
        <v>7.6875</v>
      </c>
      <c r="F22" s="3">
        <f t="shared" si="7"/>
        <v>-0.625</v>
      </c>
      <c r="G22" s="3">
        <f t="shared" si="7"/>
        <v>-1.9375</v>
      </c>
      <c r="H22" s="3">
        <f t="shared" si="7"/>
        <v>0.8125</v>
      </c>
      <c r="I22" s="5">
        <f t="shared" si="7"/>
        <v>0</v>
      </c>
      <c r="J22" s="5">
        <f t="shared" si="7"/>
        <v>0</v>
      </c>
      <c r="K22" s="5">
        <f t="shared" si="7"/>
        <v>0</v>
      </c>
      <c r="L22" s="3">
        <f t="shared" si="7"/>
        <v>18.062499999999996</v>
      </c>
    </row>
    <row r="23" spans="1:12" x14ac:dyDescent="0.3">
      <c r="A23" s="2" t="s">
        <v>7</v>
      </c>
      <c r="B23" s="5">
        <v>0</v>
      </c>
      <c r="C23" s="5">
        <f>C14-C22*3</f>
        <v>0</v>
      </c>
      <c r="D23" s="3">
        <f t="shared" ref="D23:L23" si="8">D14-D22*3</f>
        <v>-22.8125</v>
      </c>
      <c r="E23" s="3">
        <f t="shared" si="8"/>
        <v>9.4375</v>
      </c>
      <c r="F23" s="3">
        <f t="shared" si="8"/>
        <v>27.875</v>
      </c>
      <c r="G23" s="3">
        <f t="shared" si="8"/>
        <v>27.3125</v>
      </c>
      <c r="H23" s="3">
        <f t="shared" si="8"/>
        <v>-1.9375</v>
      </c>
      <c r="I23" s="5">
        <f t="shared" si="8"/>
        <v>1</v>
      </c>
      <c r="J23" s="5">
        <f t="shared" si="8"/>
        <v>0</v>
      </c>
      <c r="K23" s="5">
        <f t="shared" si="8"/>
        <v>0</v>
      </c>
      <c r="L23" s="3">
        <f t="shared" si="8"/>
        <v>40.312500000000014</v>
      </c>
    </row>
    <row r="24" spans="1:12" x14ac:dyDescent="0.3">
      <c r="A24" s="2" t="s">
        <v>8</v>
      </c>
      <c r="B24" s="5">
        <v>0</v>
      </c>
      <c r="C24" s="5">
        <f>C15-C22*(-26.4)</f>
        <v>0</v>
      </c>
      <c r="D24" s="3">
        <f t="shared" ref="D24:L24" si="9">D15-D22*(-26.4)</f>
        <v>175.25</v>
      </c>
      <c r="E24" s="3">
        <f t="shared" si="9"/>
        <v>209.25</v>
      </c>
      <c r="F24" s="3">
        <f t="shared" si="9"/>
        <v>-9.5</v>
      </c>
      <c r="G24" s="3">
        <f t="shared" si="9"/>
        <v>-63.25</v>
      </c>
      <c r="H24" s="3">
        <f t="shared" si="9"/>
        <v>-4.25</v>
      </c>
      <c r="I24" s="5">
        <f t="shared" si="9"/>
        <v>0</v>
      </c>
      <c r="J24" s="5">
        <f t="shared" si="9"/>
        <v>1</v>
      </c>
      <c r="K24" s="5">
        <f t="shared" si="9"/>
        <v>0</v>
      </c>
      <c r="L24" s="3">
        <f t="shared" si="9"/>
        <v>434.74999999999983</v>
      </c>
    </row>
    <row r="25" spans="1:12" x14ac:dyDescent="0.3">
      <c r="A25" s="2" t="s">
        <v>9</v>
      </c>
      <c r="B25" s="5">
        <v>0</v>
      </c>
      <c r="C25" s="5">
        <f>C16-C22*11.1</f>
        <v>0</v>
      </c>
      <c r="D25" s="3">
        <f t="shared" ref="D25:L25" si="10">D16-D22*11.1</f>
        <v>-60.90625</v>
      </c>
      <c r="E25" s="6">
        <f t="shared" si="10"/>
        <v>-104.78125</v>
      </c>
      <c r="F25" s="3">
        <f t="shared" si="10"/>
        <v>9.9375</v>
      </c>
      <c r="G25" s="3">
        <f t="shared" si="10"/>
        <v>17.656249999999996</v>
      </c>
      <c r="H25" s="3">
        <f t="shared" si="10"/>
        <v>4.5312500000000018</v>
      </c>
      <c r="I25" s="5">
        <f t="shared" si="10"/>
        <v>0</v>
      </c>
      <c r="J25" s="5">
        <f t="shared" si="10"/>
        <v>0</v>
      </c>
      <c r="K25" s="5">
        <f t="shared" si="10"/>
        <v>1</v>
      </c>
      <c r="L25" s="6">
        <f t="shared" si="10"/>
        <v>-182.84374999999994</v>
      </c>
    </row>
    <row r="26" spans="1:12" x14ac:dyDescent="0.3">
      <c r="A26" s="2" t="s">
        <v>12</v>
      </c>
      <c r="B26" s="5">
        <v>0</v>
      </c>
      <c r="C26" s="5">
        <f>C17-C22*(-5.9)</f>
        <v>0</v>
      </c>
      <c r="D26" s="3">
        <f t="shared" ref="D26:L26" si="11">D17-D22*(-5.9)</f>
        <v>25.03125</v>
      </c>
      <c r="E26" s="3">
        <f t="shared" si="11"/>
        <v>29.40625</v>
      </c>
      <c r="F26" s="3">
        <f t="shared" si="11"/>
        <v>3.3125</v>
      </c>
      <c r="G26" s="3">
        <f t="shared" si="11"/>
        <v>-10.78125</v>
      </c>
      <c r="H26" s="3">
        <f t="shared" si="11"/>
        <v>1.8437499999999991</v>
      </c>
      <c r="I26" s="5">
        <f t="shared" si="11"/>
        <v>0</v>
      </c>
      <c r="J26" s="5">
        <f t="shared" si="11"/>
        <v>0</v>
      </c>
      <c r="K26" s="5">
        <f t="shared" si="11"/>
        <v>0</v>
      </c>
      <c r="L26" s="3">
        <f t="shared" si="11"/>
        <v>191.71874999999997</v>
      </c>
    </row>
    <row r="29" spans="1:12" x14ac:dyDescent="0.3">
      <c r="A29" s="2" t="s">
        <v>11</v>
      </c>
      <c r="B29" s="2" t="s">
        <v>0</v>
      </c>
      <c r="C29" s="2" t="s">
        <v>1</v>
      </c>
      <c r="D29" s="2" t="s">
        <v>2</v>
      </c>
      <c r="E29" s="2" t="s">
        <v>3</v>
      </c>
      <c r="F29" s="2" t="s">
        <v>4</v>
      </c>
      <c r="G29" s="2" t="s">
        <v>5</v>
      </c>
      <c r="H29" s="2" t="s">
        <v>6</v>
      </c>
      <c r="I29" s="2" t="s">
        <v>7</v>
      </c>
      <c r="J29" s="2" t="s">
        <v>8</v>
      </c>
      <c r="K29" s="2" t="s">
        <v>9</v>
      </c>
      <c r="L29" s="2" t="s">
        <v>10</v>
      </c>
    </row>
    <row r="30" spans="1:12" x14ac:dyDescent="0.3">
      <c r="A30" s="2" t="s">
        <v>0</v>
      </c>
      <c r="B30" s="5">
        <v>1</v>
      </c>
      <c r="C30" s="5">
        <v>0</v>
      </c>
      <c r="D30" s="3">
        <f>D21-D34*$E$21</f>
        <v>-1.0223680286310763</v>
      </c>
      <c r="E30" s="5">
        <f>E21-E34*$E$21</f>
        <v>0</v>
      </c>
      <c r="F30" s="3">
        <f t="shared" ref="F30:L30" si="12">F21-F34*$E$21</f>
        <v>1.0077542499254399</v>
      </c>
      <c r="G30" s="3">
        <f t="shared" si="12"/>
        <v>1.6427080226662691</v>
      </c>
      <c r="H30" s="3">
        <f t="shared" si="12"/>
        <v>8.5296749179838871E-2</v>
      </c>
      <c r="I30" s="5">
        <f t="shared" si="12"/>
        <v>0</v>
      </c>
      <c r="J30" s="5">
        <f t="shared" si="12"/>
        <v>0</v>
      </c>
      <c r="K30" s="3">
        <f t="shared" si="12"/>
        <v>-4.3244855353414852E-2</v>
      </c>
      <c r="L30" s="3">
        <f t="shared" si="12"/>
        <v>1.8133015210259478</v>
      </c>
    </row>
    <row r="31" spans="1:12" x14ac:dyDescent="0.3">
      <c r="A31" s="2" t="s">
        <v>1</v>
      </c>
      <c r="B31" s="5">
        <v>0</v>
      </c>
      <c r="C31" s="5">
        <v>1</v>
      </c>
      <c r="D31" s="3">
        <f>D22-D34*$E$22</f>
        <v>1.9689830002982402</v>
      </c>
      <c r="E31" s="5">
        <f>E22-E34*$E$22</f>
        <v>0</v>
      </c>
      <c r="F31" s="3">
        <f t="shared" ref="F31:L31" si="13">F22-F34*$E$22</f>
        <v>0.10408589322994333</v>
      </c>
      <c r="G31" s="3">
        <f t="shared" si="13"/>
        <v>-0.64211154190277386</v>
      </c>
      <c r="H31" s="3">
        <f t="shared" si="13"/>
        <v>1.1449448255293768</v>
      </c>
      <c r="I31" s="5">
        <f t="shared" si="13"/>
        <v>0</v>
      </c>
      <c r="J31" s="5">
        <f t="shared" si="13"/>
        <v>0</v>
      </c>
      <c r="K31" s="3">
        <f t="shared" si="13"/>
        <v>7.3367133909931409E-2</v>
      </c>
      <c r="L31" s="3">
        <f t="shared" si="13"/>
        <v>4.6477781091559791</v>
      </c>
    </row>
    <row r="32" spans="1:12" x14ac:dyDescent="0.3">
      <c r="A32" s="2" t="s">
        <v>7</v>
      </c>
      <c r="B32" s="5">
        <v>0</v>
      </c>
      <c r="C32" s="5">
        <v>0</v>
      </c>
      <c r="D32" s="3">
        <f>D23-D34*$E$23</f>
        <v>-28.298240381747689</v>
      </c>
      <c r="E32" s="5">
        <f>E23-E34*$E$23</f>
        <v>0</v>
      </c>
      <c r="F32" s="3">
        <f t="shared" ref="F32:L32" si="14">F23-F34*$E$23</f>
        <v>28.770056665672531</v>
      </c>
      <c r="G32" s="3">
        <f t="shared" si="14"/>
        <v>28.902773635550254</v>
      </c>
      <c r="H32" s="3">
        <f t="shared" si="14"/>
        <v>-1.5293766776021471</v>
      </c>
      <c r="I32" s="5">
        <f t="shared" si="14"/>
        <v>1</v>
      </c>
      <c r="J32" s="5">
        <f t="shared" si="14"/>
        <v>0</v>
      </c>
      <c r="K32" s="3">
        <f t="shared" si="14"/>
        <v>9.0068595287801978E-2</v>
      </c>
      <c r="L32" s="3">
        <f t="shared" si="14"/>
        <v>23.844020280345976</v>
      </c>
    </row>
    <row r="33" spans="1:13" x14ac:dyDescent="0.3">
      <c r="A33" s="2" t="s">
        <v>8</v>
      </c>
      <c r="B33" s="5">
        <v>0</v>
      </c>
      <c r="C33" s="5">
        <v>0</v>
      </c>
      <c r="D33" s="3">
        <f>D24-D34*$E$24</f>
        <v>53.619147032508209</v>
      </c>
      <c r="E33" s="5">
        <f>E24-E34*$E$24</f>
        <v>0</v>
      </c>
      <c r="F33" s="3">
        <f t="shared" ref="F33:L33" si="15">F24-F34*$E$24</f>
        <v>10.345362362063824</v>
      </c>
      <c r="G33" s="3">
        <f t="shared" si="15"/>
        <v>-27.990158067402334</v>
      </c>
      <c r="H33" s="3">
        <f t="shared" si="15"/>
        <v>4.798985982702062</v>
      </c>
      <c r="I33" s="5">
        <f t="shared" si="15"/>
        <v>0</v>
      </c>
      <c r="J33" s="5">
        <f t="shared" si="15"/>
        <v>1</v>
      </c>
      <c r="K33" s="3">
        <f t="shared" si="15"/>
        <v>1.9970175961825232</v>
      </c>
      <c r="L33" s="3">
        <f t="shared" si="15"/>
        <v>69.607813898001723</v>
      </c>
    </row>
    <row r="34" spans="1:13" x14ac:dyDescent="0.3">
      <c r="A34" s="2" t="s">
        <v>3</v>
      </c>
      <c r="B34" s="5">
        <f t="shared" ref="B34:D34" si="16">B25/$E$25</f>
        <v>0</v>
      </c>
      <c r="C34" s="5">
        <f t="shared" si="16"/>
        <v>0</v>
      </c>
      <c r="D34" s="3">
        <f t="shared" si="16"/>
        <v>0.58127050402624514</v>
      </c>
      <c r="E34" s="5">
        <f>E25/$E$25</f>
        <v>1</v>
      </c>
      <c r="F34" s="3">
        <f t="shared" ref="F34:L34" si="17">F25/$E$25</f>
        <v>-9.4840441395764988E-2</v>
      </c>
      <c r="G34" s="3">
        <f t="shared" si="17"/>
        <v>-0.16850581568744405</v>
      </c>
      <c r="H34" s="3">
        <f t="shared" si="17"/>
        <v>-4.3244855353414872E-2</v>
      </c>
      <c r="I34" s="5">
        <f t="shared" si="17"/>
        <v>0</v>
      </c>
      <c r="J34" s="5">
        <f t="shared" si="17"/>
        <v>0</v>
      </c>
      <c r="K34" s="3">
        <f t="shared" si="17"/>
        <v>-9.5436922159260369E-3</v>
      </c>
      <c r="L34" s="3">
        <f t="shared" si="17"/>
        <v>1.7450044736057257</v>
      </c>
    </row>
    <row r="35" spans="1:13" x14ac:dyDescent="0.3">
      <c r="A35" s="2" t="s">
        <v>12</v>
      </c>
      <c r="B35" s="5">
        <v>0</v>
      </c>
      <c r="C35" s="5">
        <v>0</v>
      </c>
      <c r="D35" s="3">
        <f>D26-D34*$E$26</f>
        <v>7.9382642409782278</v>
      </c>
      <c r="E35" s="5">
        <f>E26-E34*$E$26</f>
        <v>0</v>
      </c>
      <c r="F35" s="3">
        <f t="shared" ref="F35:L35" si="18">F26-F34*$E$26</f>
        <v>6.1014017297942136</v>
      </c>
      <c r="G35" s="7">
        <f t="shared" si="18"/>
        <v>-5.8261258574410988</v>
      </c>
      <c r="H35" s="3">
        <f t="shared" si="18"/>
        <v>3.1154190277363552</v>
      </c>
      <c r="I35" s="5">
        <f t="shared" si="18"/>
        <v>0</v>
      </c>
      <c r="J35" s="5">
        <f t="shared" si="18"/>
        <v>0</v>
      </c>
      <c r="K35" s="3">
        <f t="shared" si="18"/>
        <v>0.28064419922457501</v>
      </c>
      <c r="L35" s="3">
        <f t="shared" si="18"/>
        <v>140.4047121980316</v>
      </c>
    </row>
    <row r="36" spans="1:13" x14ac:dyDescent="0.3">
      <c r="C36" s="1" t="s">
        <v>16</v>
      </c>
      <c r="D36" s="1">
        <f>B9*D30+C9*D31+I9*D32+J9*D33+E9*D34-D9</f>
        <v>7.9382642409782314</v>
      </c>
    </row>
    <row r="38" spans="1:13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3">
      <c r="A39" s="2"/>
      <c r="B39" s="3"/>
      <c r="C39" s="3"/>
      <c r="D39" s="3"/>
      <c r="E39" s="3"/>
      <c r="F39" s="3"/>
      <c r="G39" s="8"/>
      <c r="H39" s="3"/>
      <c r="I39" s="3"/>
      <c r="J39" s="3"/>
      <c r="K39" s="3"/>
      <c r="L39" s="3"/>
      <c r="M39" s="3"/>
    </row>
    <row r="40" spans="1:13" x14ac:dyDescent="0.3">
      <c r="A40" s="2"/>
      <c r="B40" s="3"/>
      <c r="C40" s="3"/>
      <c r="D40" s="3"/>
      <c r="E40" s="3"/>
      <c r="F40" s="3"/>
      <c r="G40" s="8"/>
      <c r="H40" s="3"/>
      <c r="I40" s="3"/>
      <c r="J40" s="3"/>
      <c r="K40" s="3"/>
      <c r="L40" s="3"/>
      <c r="M40" s="3"/>
    </row>
    <row r="41" spans="1:13" x14ac:dyDescent="0.3">
      <c r="A41" s="2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</row>
    <row r="42" spans="1:13" x14ac:dyDescent="0.3">
      <c r="A42" s="2"/>
      <c r="B42" s="3"/>
      <c r="C42" s="3"/>
      <c r="D42" s="3"/>
      <c r="E42" s="3"/>
      <c r="F42" s="3"/>
      <c r="G42" s="8"/>
      <c r="H42" s="3"/>
      <c r="I42" s="3"/>
      <c r="J42" s="3"/>
      <c r="K42" s="3"/>
      <c r="L42" s="3"/>
      <c r="M42" s="3"/>
    </row>
    <row r="43" spans="1:13" x14ac:dyDescent="0.3">
      <c r="A43" s="2"/>
      <c r="B43" s="3"/>
      <c r="C43" s="3"/>
      <c r="D43" s="3"/>
      <c r="E43" s="3"/>
      <c r="F43" s="3"/>
      <c r="G43" s="8"/>
      <c r="H43" s="3"/>
      <c r="I43" s="3"/>
      <c r="J43" s="3"/>
      <c r="K43" s="3"/>
      <c r="L43" s="3"/>
      <c r="M43" s="3"/>
    </row>
    <row r="44" spans="1:13" x14ac:dyDescent="0.3">
      <c r="A44" s="2"/>
      <c r="B44" s="3"/>
      <c r="C44" s="3"/>
      <c r="D44" s="3"/>
      <c r="E44" s="3"/>
      <c r="F44" s="3"/>
      <c r="G44" s="6"/>
      <c r="H44" s="3"/>
      <c r="I44" s="3"/>
      <c r="J44" s="3"/>
      <c r="K44" s="3"/>
      <c r="L44" s="3"/>
      <c r="M44" s="3"/>
    </row>
    <row r="47" spans="1:13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3" x14ac:dyDescent="0.3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x14ac:dyDescent="0.3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x14ac:dyDescent="0.3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x14ac:dyDescent="0.3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x14ac:dyDescent="0.3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x14ac:dyDescent="0.3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5" spans="1:12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2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2" x14ac:dyDescent="0.3">
      <c r="A57" s="10"/>
      <c r="B57" s="11"/>
      <c r="C57" s="12"/>
    </row>
    <row r="58" spans="1:12" x14ac:dyDescent="0.3">
      <c r="A58" s="3"/>
      <c r="B58" s="3"/>
      <c r="C58" s="3"/>
      <c r="D58" s="3"/>
      <c r="E58" s="3"/>
    </row>
  </sheetData>
  <mergeCells count="1">
    <mergeCell ref="A19:L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2026-03-20T18:59:48Z</dcterms:modified>
</cp:coreProperties>
</file>