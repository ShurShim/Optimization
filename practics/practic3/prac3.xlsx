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9" i="1" l="1"/>
  <c r="H50" i="1"/>
  <c r="H51" i="1"/>
  <c r="H52" i="1"/>
  <c r="H48" i="1"/>
  <c r="G49" i="1"/>
  <c r="G50" i="1"/>
  <c r="G51" i="1"/>
  <c r="G52" i="1"/>
  <c r="G48" i="1"/>
  <c r="F49" i="1"/>
  <c r="F50" i="1"/>
  <c r="F51" i="1"/>
  <c r="F52" i="1"/>
  <c r="F48" i="1"/>
  <c r="F40" i="1"/>
  <c r="F41" i="1"/>
  <c r="F42" i="1"/>
  <c r="F43" i="1"/>
  <c r="F39" i="1"/>
  <c r="E40" i="1" l="1"/>
  <c r="E41" i="1"/>
  <c r="E42" i="1"/>
  <c r="E43" i="1"/>
  <c r="E39" i="1"/>
  <c r="D40" i="1"/>
  <c r="D41" i="1"/>
  <c r="D42" i="1"/>
  <c r="D43" i="1"/>
  <c r="D39" i="1"/>
  <c r="C40" i="1"/>
  <c r="C41" i="1"/>
  <c r="C42" i="1"/>
  <c r="C43" i="1"/>
  <c r="C39" i="1"/>
  <c r="B40" i="1"/>
  <c r="B41" i="1"/>
  <c r="B42" i="1"/>
  <c r="B43" i="1"/>
  <c r="B39" i="1"/>
  <c r="C35" i="1"/>
  <c r="D35" i="1"/>
  <c r="E35" i="1"/>
  <c r="B35" i="1"/>
  <c r="F13" i="1" l="1"/>
  <c r="F14" i="1"/>
  <c r="F15" i="1"/>
  <c r="F16" i="1"/>
  <c r="F12" i="1"/>
</calcChain>
</file>

<file path=xl/comments1.xml><?xml version="1.0" encoding="utf-8"?>
<comments xmlns="http://schemas.openxmlformats.org/spreadsheetml/2006/main">
  <authors>
    <author>Автор</author>
  </authors>
  <commentList>
    <comment ref="A1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Имеются 5 вариантов проекта систем водоотчистки 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  <charset val="204"/>
          </rPr>
          <t>Меняющиеся условия - состояния среды.</t>
        </r>
      </text>
    </comment>
    <comment ref="B3" authorId="0" shapeId="0">
      <text>
        <r>
          <rPr>
            <b/>
            <sz val="9"/>
            <color indexed="81"/>
            <rFont val="Tahoma"/>
            <family val="2"/>
            <charset val="204"/>
          </rPr>
          <t>Экономическая эффективность в зависимости от рентабельности производства.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  <charset val="204"/>
          </rPr>
          <t>Принцип недостаточного обоснования, который гласит, что, поскольку распределение вероятностей состояния неизвестно, нет причин считать их различными.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  <charset val="204"/>
          </rPr>
          <t>Значение экономической эффективности - доход, поэтому берем максимальное значение.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  <charset val="204"/>
          </rPr>
          <t>Наибольший уровень дохода был получен при выборе второго проекта. (по сути среднее арифметическое всего дохода от количества состояний)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  <charset val="204"/>
          </rPr>
          <t>Так как искомая величина представляет собой получаемую прибыль (эффективность)
Осторожный (консервативный) подход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  <charset val="204"/>
          </rPr>
          <t>Лучший проект - R3.
(По сути выбираем наилучшее из наихудших вариантов)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  <charset val="204"/>
          </rPr>
          <t>Снижение консерватизма максиминного (минимаксного) критерия путем замены матрицы доходов на матрицу рисков.</t>
        </r>
      </text>
    </comment>
    <comment ref="F40" authorId="0" shapeId="0">
      <text>
        <r>
          <rPr>
            <b/>
            <sz val="9"/>
            <color indexed="81"/>
            <rFont val="Tahoma"/>
            <family val="2"/>
            <charset val="204"/>
          </rPr>
          <t>Для каждой стратегии ищем максимальный риск и выбираем проект с минимальным из максимальных рисков.</t>
        </r>
      </text>
    </comment>
    <comment ref="G40" authorId="0" shapeId="0">
      <text>
        <r>
          <rPr>
            <b/>
            <sz val="9"/>
            <color indexed="81"/>
            <rFont val="Tahoma"/>
            <family val="2"/>
            <charset val="204"/>
          </rPr>
          <t>Во всех случаях определяют величину потерь, поэтому только минимаксный критерий.</t>
        </r>
      </text>
    </comment>
    <comment ref="F46" authorId="0" shapeId="0">
      <text>
        <r>
          <rPr>
            <b/>
            <sz val="9"/>
            <color indexed="81"/>
            <rFont val="Tahoma"/>
            <family val="2"/>
            <charset val="204"/>
          </rPr>
          <t>Параметр оптимизма
0 - консерватизм
1 - оптимизм</t>
        </r>
      </text>
    </comment>
  </commentList>
</comments>
</file>

<file path=xl/sharedStrings.xml><?xml version="1.0" encoding="utf-8"?>
<sst xmlns="http://schemas.openxmlformats.org/spreadsheetml/2006/main" count="83" uniqueCount="24">
  <si>
    <t>Состояние природы</t>
  </si>
  <si>
    <t>S1</t>
  </si>
  <si>
    <t>S2</t>
  </si>
  <si>
    <t>S3</t>
  </si>
  <si>
    <t>S4</t>
  </si>
  <si>
    <t>Проекты</t>
  </si>
  <si>
    <t>R1</t>
  </si>
  <si>
    <t>R2</t>
  </si>
  <si>
    <t>R3</t>
  </si>
  <si>
    <t>R4</t>
  </si>
  <si>
    <t>R5</t>
  </si>
  <si>
    <t>Критерий Лапласа</t>
  </si>
  <si>
    <t>P(sj)</t>
  </si>
  <si>
    <t>Доход</t>
  </si>
  <si>
    <t>Максиминный критерий</t>
  </si>
  <si>
    <t>оптимум</t>
  </si>
  <si>
    <t>max(min)</t>
  </si>
  <si>
    <t>Критерий Сэвиджа (матрица рисков)</t>
  </si>
  <si>
    <t>max</t>
  </si>
  <si>
    <t>min(max)</t>
  </si>
  <si>
    <t>Критерий Гурвица</t>
  </si>
  <si>
    <t>min</t>
  </si>
  <si>
    <t>α</t>
  </si>
  <si>
    <t>Решение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</si>
</sst>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2"/>
  <sheetViews>
    <sheetView tabSelected="1" topLeftCell="A20" zoomScale="89" workbookViewId="0">
      <selection activeCell="G47" sqref="G47"/>
    </sheetView>
  </sheetViews>
  <sheetFormatPr defaultRowHeight="15.6" x14ac:dyDescent="0.3"/>
  <cols>
    <col min="1" max="1" width="12.33203125" style="1" customWidth="1"/>
    <col min="2" max="5" width="8.88671875" style="1"/>
    <col min="6" max="6" width="10" style="10" customWidth="1"/>
    <col min="7" max="7" width="9.6640625" style="10" customWidth="1"/>
    <col min="8" max="8" width="10.88671875" style="10" customWidth="1"/>
    <col min="9" max="9" width="10" style="10" customWidth="1"/>
    <col min="10" max="16384" width="8.88671875" style="1"/>
  </cols>
  <sheetData>
    <row r="1" spans="1:7" x14ac:dyDescent="0.3">
      <c r="A1" s="13" t="s">
        <v>5</v>
      </c>
      <c r="B1" s="13" t="s">
        <v>0</v>
      </c>
      <c r="C1" s="13"/>
      <c r="D1" s="13"/>
      <c r="E1" s="13"/>
      <c r="F1" s="5"/>
    </row>
    <row r="2" spans="1:7" x14ac:dyDescent="0.3">
      <c r="A2" s="13"/>
      <c r="B2" s="3" t="s">
        <v>1</v>
      </c>
      <c r="C2" s="3" t="s">
        <v>2</v>
      </c>
      <c r="D2" s="3" t="s">
        <v>3</v>
      </c>
      <c r="E2" s="3" t="s">
        <v>4</v>
      </c>
      <c r="F2" s="5"/>
    </row>
    <row r="3" spans="1:7" x14ac:dyDescent="0.3">
      <c r="A3" s="3" t="s">
        <v>6</v>
      </c>
      <c r="B3" s="2">
        <v>20</v>
      </c>
      <c r="C3" s="2">
        <v>26</v>
      </c>
      <c r="D3" s="2">
        <v>47</v>
      </c>
      <c r="E3" s="2">
        <v>35</v>
      </c>
      <c r="F3" s="6"/>
    </row>
    <row r="4" spans="1:7" x14ac:dyDescent="0.3">
      <c r="A4" s="3" t="s">
        <v>7</v>
      </c>
      <c r="B4" s="2">
        <v>59</v>
      </c>
      <c r="C4" s="2">
        <v>23</v>
      </c>
      <c r="D4" s="2">
        <v>34</v>
      </c>
      <c r="E4" s="2">
        <v>43</v>
      </c>
      <c r="F4" s="6"/>
    </row>
    <row r="5" spans="1:7" x14ac:dyDescent="0.3">
      <c r="A5" s="3" t="s">
        <v>8</v>
      </c>
      <c r="B5" s="2">
        <v>33</v>
      </c>
      <c r="C5" s="2">
        <v>35</v>
      </c>
      <c r="D5" s="2">
        <v>43</v>
      </c>
      <c r="E5" s="2">
        <v>32</v>
      </c>
      <c r="F5" s="6"/>
    </row>
    <row r="6" spans="1:7" x14ac:dyDescent="0.3">
      <c r="A6" s="3" t="s">
        <v>9</v>
      </c>
      <c r="B6" s="2">
        <v>40</v>
      </c>
      <c r="C6" s="2">
        <v>28</v>
      </c>
      <c r="D6" s="2">
        <v>24</v>
      </c>
      <c r="E6" s="2">
        <v>14</v>
      </c>
      <c r="F6" s="6"/>
    </row>
    <row r="7" spans="1:7" x14ac:dyDescent="0.3">
      <c r="A7" s="3" t="s">
        <v>10</v>
      </c>
      <c r="B7" s="2">
        <v>34</v>
      </c>
      <c r="C7" s="2">
        <v>36</v>
      </c>
      <c r="D7" s="2">
        <v>39</v>
      </c>
      <c r="E7" s="2">
        <v>15</v>
      </c>
      <c r="F7" s="6"/>
    </row>
    <row r="9" spans="1:7" x14ac:dyDescent="0.3">
      <c r="A9" s="21" t="s">
        <v>11</v>
      </c>
      <c r="B9" s="21"/>
      <c r="C9" s="21"/>
      <c r="D9" s="21"/>
      <c r="E9" s="21"/>
      <c r="F9" s="21"/>
      <c r="G9" s="21"/>
    </row>
    <row r="10" spans="1:7" x14ac:dyDescent="0.3">
      <c r="A10" s="16" t="s">
        <v>5</v>
      </c>
      <c r="B10" s="17" t="s">
        <v>0</v>
      </c>
      <c r="C10" s="18"/>
      <c r="D10" s="18"/>
      <c r="E10" s="19"/>
      <c r="F10" s="16" t="s">
        <v>13</v>
      </c>
      <c r="G10" s="2" t="s">
        <v>12</v>
      </c>
    </row>
    <row r="11" spans="1:7" x14ac:dyDescent="0.3">
      <c r="A11" s="15"/>
      <c r="B11" s="3" t="s">
        <v>1</v>
      </c>
      <c r="C11" s="3" t="s">
        <v>2</v>
      </c>
      <c r="D11" s="3" t="s">
        <v>3</v>
      </c>
      <c r="E11" s="3" t="s">
        <v>4</v>
      </c>
      <c r="F11" s="15"/>
      <c r="G11" s="2">
        <v>0.25</v>
      </c>
    </row>
    <row r="12" spans="1:7" x14ac:dyDescent="0.3">
      <c r="A12" s="3" t="s">
        <v>6</v>
      </c>
      <c r="B12" s="2">
        <v>20</v>
      </c>
      <c r="C12" s="2">
        <v>26</v>
      </c>
      <c r="D12" s="2">
        <v>47</v>
      </c>
      <c r="E12" s="2">
        <v>35</v>
      </c>
      <c r="F12" s="2">
        <f>$G$11*SUM(B12:E12)</f>
        <v>32</v>
      </c>
    </row>
    <row r="13" spans="1:7" x14ac:dyDescent="0.3">
      <c r="A13" s="3" t="s">
        <v>7</v>
      </c>
      <c r="B13" s="2">
        <v>59</v>
      </c>
      <c r="C13" s="2">
        <v>23</v>
      </c>
      <c r="D13" s="2">
        <v>34</v>
      </c>
      <c r="E13" s="2">
        <v>43</v>
      </c>
      <c r="F13" s="7">
        <f t="shared" ref="F13:F16" si="0">$G$11*SUM(B13:E13)</f>
        <v>39.75</v>
      </c>
      <c r="G13" s="10" t="s">
        <v>15</v>
      </c>
    </row>
    <row r="14" spans="1:7" x14ac:dyDescent="0.3">
      <c r="A14" s="3" t="s">
        <v>8</v>
      </c>
      <c r="B14" s="2">
        <v>33</v>
      </c>
      <c r="C14" s="2">
        <v>35</v>
      </c>
      <c r="D14" s="2">
        <v>43</v>
      </c>
      <c r="E14" s="2">
        <v>32</v>
      </c>
      <c r="F14" s="2">
        <f t="shared" si="0"/>
        <v>35.75</v>
      </c>
    </row>
    <row r="15" spans="1:7" x14ac:dyDescent="0.3">
      <c r="A15" s="3" t="s">
        <v>9</v>
      </c>
      <c r="B15" s="2">
        <v>40</v>
      </c>
      <c r="C15" s="2">
        <v>28</v>
      </c>
      <c r="D15" s="2">
        <v>24</v>
      </c>
      <c r="E15" s="2">
        <v>14</v>
      </c>
      <c r="F15" s="2">
        <f t="shared" si="0"/>
        <v>26.5</v>
      </c>
    </row>
    <row r="16" spans="1:7" x14ac:dyDescent="0.3">
      <c r="A16" s="3" t="s">
        <v>10</v>
      </c>
      <c r="B16" s="2">
        <v>34</v>
      </c>
      <c r="C16" s="2">
        <v>36</v>
      </c>
      <c r="D16" s="2">
        <v>39</v>
      </c>
      <c r="E16" s="2">
        <v>15</v>
      </c>
      <c r="F16" s="2">
        <f t="shared" si="0"/>
        <v>31</v>
      </c>
    </row>
    <row r="18" spans="1:7" x14ac:dyDescent="0.3">
      <c r="A18" s="20" t="s">
        <v>14</v>
      </c>
      <c r="B18" s="20"/>
      <c r="C18" s="20"/>
      <c r="D18" s="20"/>
      <c r="E18" s="20"/>
      <c r="F18" s="20"/>
      <c r="G18" s="20"/>
    </row>
    <row r="19" spans="1:7" x14ac:dyDescent="0.3">
      <c r="A19" s="14" t="s">
        <v>5</v>
      </c>
      <c r="B19" s="13" t="s">
        <v>0</v>
      </c>
      <c r="C19" s="13"/>
      <c r="D19" s="13"/>
      <c r="E19" s="13"/>
      <c r="F19" s="6"/>
    </row>
    <row r="20" spans="1:7" x14ac:dyDescent="0.3">
      <c r="A20" s="15"/>
      <c r="B20" s="4" t="s">
        <v>1</v>
      </c>
      <c r="C20" s="4" t="s">
        <v>2</v>
      </c>
      <c r="D20" s="4" t="s">
        <v>3</v>
      </c>
      <c r="E20" s="4" t="s">
        <v>4</v>
      </c>
      <c r="F20" s="8" t="s">
        <v>16</v>
      </c>
    </row>
    <row r="21" spans="1:7" x14ac:dyDescent="0.3">
      <c r="A21" s="3" t="s">
        <v>6</v>
      </c>
      <c r="B21" s="2">
        <v>20</v>
      </c>
      <c r="C21" s="2">
        <v>26</v>
      </c>
      <c r="D21" s="2">
        <v>47</v>
      </c>
      <c r="E21" s="2">
        <v>35</v>
      </c>
      <c r="F21" s="2">
        <v>20</v>
      </c>
    </row>
    <row r="22" spans="1:7" x14ac:dyDescent="0.3">
      <c r="A22" s="3" t="s">
        <v>7</v>
      </c>
      <c r="B22" s="2">
        <v>59</v>
      </c>
      <c r="C22" s="2">
        <v>23</v>
      </c>
      <c r="D22" s="2">
        <v>34</v>
      </c>
      <c r="E22" s="2">
        <v>43</v>
      </c>
      <c r="F22" s="2">
        <v>23</v>
      </c>
    </row>
    <row r="23" spans="1:7" x14ac:dyDescent="0.3">
      <c r="A23" s="3" t="s">
        <v>8</v>
      </c>
      <c r="B23" s="2">
        <v>33</v>
      </c>
      <c r="C23" s="2">
        <v>35</v>
      </c>
      <c r="D23" s="2">
        <v>43</v>
      </c>
      <c r="E23" s="2">
        <v>32</v>
      </c>
      <c r="F23" s="7">
        <v>32</v>
      </c>
      <c r="G23" s="10" t="s">
        <v>15</v>
      </c>
    </row>
    <row r="24" spans="1:7" x14ac:dyDescent="0.3">
      <c r="A24" s="3" t="s">
        <v>9</v>
      </c>
      <c r="B24" s="2">
        <v>40</v>
      </c>
      <c r="C24" s="2">
        <v>28</v>
      </c>
      <c r="D24" s="2">
        <v>24</v>
      </c>
      <c r="E24" s="2">
        <v>14</v>
      </c>
      <c r="F24" s="2">
        <v>14</v>
      </c>
    </row>
    <row r="25" spans="1:7" x14ac:dyDescent="0.3">
      <c r="A25" s="3" t="s">
        <v>10</v>
      </c>
      <c r="B25" s="2">
        <v>34</v>
      </c>
      <c r="C25" s="2">
        <v>36</v>
      </c>
      <c r="D25" s="2">
        <v>39</v>
      </c>
      <c r="E25" s="2">
        <v>15</v>
      </c>
      <c r="F25" s="2">
        <v>15</v>
      </c>
    </row>
    <row r="27" spans="1:7" x14ac:dyDescent="0.3">
      <c r="A27" s="20" t="s">
        <v>17</v>
      </c>
      <c r="B27" s="20"/>
      <c r="C27" s="20"/>
      <c r="D27" s="20"/>
      <c r="E27" s="20"/>
      <c r="F27" s="20"/>
      <c r="G27" s="20"/>
    </row>
    <row r="28" spans="1:7" x14ac:dyDescent="0.3">
      <c r="A28" s="14" t="s">
        <v>5</v>
      </c>
      <c r="B28" s="13" t="s">
        <v>0</v>
      </c>
      <c r="C28" s="13"/>
      <c r="D28" s="13"/>
      <c r="E28" s="13"/>
    </row>
    <row r="29" spans="1:7" x14ac:dyDescent="0.3">
      <c r="A29" s="15"/>
      <c r="B29" s="4" t="s">
        <v>1</v>
      </c>
      <c r="C29" s="4" t="s">
        <v>2</v>
      </c>
      <c r="D29" s="4" t="s">
        <v>3</v>
      </c>
      <c r="E29" s="4" t="s">
        <v>4</v>
      </c>
    </row>
    <row r="30" spans="1:7" x14ac:dyDescent="0.3">
      <c r="A30" s="3" t="s">
        <v>6</v>
      </c>
      <c r="B30" s="2">
        <v>20</v>
      </c>
      <c r="C30" s="2">
        <v>26</v>
      </c>
      <c r="D30" s="2">
        <v>47</v>
      </c>
      <c r="E30" s="2">
        <v>35</v>
      </c>
    </row>
    <row r="31" spans="1:7" x14ac:dyDescent="0.3">
      <c r="A31" s="3" t="s">
        <v>7</v>
      </c>
      <c r="B31" s="2">
        <v>59</v>
      </c>
      <c r="C31" s="2">
        <v>23</v>
      </c>
      <c r="D31" s="2">
        <v>34</v>
      </c>
      <c r="E31" s="2">
        <v>43</v>
      </c>
    </row>
    <row r="32" spans="1:7" x14ac:dyDescent="0.3">
      <c r="A32" s="3" t="s">
        <v>8</v>
      </c>
      <c r="B32" s="2">
        <v>33</v>
      </c>
      <c r="C32" s="2">
        <v>35</v>
      </c>
      <c r="D32" s="2">
        <v>43</v>
      </c>
      <c r="E32" s="2">
        <v>32</v>
      </c>
    </row>
    <row r="33" spans="1:8" x14ac:dyDescent="0.3">
      <c r="A33" s="3" t="s">
        <v>9</v>
      </c>
      <c r="B33" s="2">
        <v>40</v>
      </c>
      <c r="C33" s="2">
        <v>28</v>
      </c>
      <c r="D33" s="2">
        <v>24</v>
      </c>
      <c r="E33" s="2">
        <v>14</v>
      </c>
    </row>
    <row r="34" spans="1:8" x14ac:dyDescent="0.3">
      <c r="A34" s="3" t="s">
        <v>10</v>
      </c>
      <c r="B34" s="2">
        <v>34</v>
      </c>
      <c r="C34" s="2">
        <v>36</v>
      </c>
      <c r="D34" s="2">
        <v>39</v>
      </c>
      <c r="E34" s="2">
        <v>15</v>
      </c>
    </row>
    <row r="35" spans="1:8" x14ac:dyDescent="0.3">
      <c r="A35" s="11" t="s">
        <v>18</v>
      </c>
      <c r="B35" s="11">
        <f>MAX(B30:B34)</f>
        <v>59</v>
      </c>
      <c r="C35" s="11">
        <f t="shared" ref="C35:E35" si="1">MAX(C30:C34)</f>
        <v>36</v>
      </c>
      <c r="D35" s="11">
        <f t="shared" si="1"/>
        <v>47</v>
      </c>
      <c r="E35" s="11">
        <f t="shared" si="1"/>
        <v>43</v>
      </c>
    </row>
    <row r="37" spans="1:8" x14ac:dyDescent="0.3">
      <c r="A37" s="14" t="s">
        <v>5</v>
      </c>
      <c r="B37" s="13" t="s">
        <v>0</v>
      </c>
      <c r="C37" s="13"/>
      <c r="D37" s="13"/>
      <c r="E37" s="13"/>
    </row>
    <row r="38" spans="1:8" x14ac:dyDescent="0.3">
      <c r="A38" s="15"/>
      <c r="B38" s="4" t="s">
        <v>1</v>
      </c>
      <c r="C38" s="4" t="s">
        <v>2</v>
      </c>
      <c r="D38" s="4" t="s">
        <v>3</v>
      </c>
      <c r="E38" s="4" t="s">
        <v>4</v>
      </c>
      <c r="F38" s="8" t="s">
        <v>19</v>
      </c>
    </row>
    <row r="39" spans="1:8" x14ac:dyDescent="0.3">
      <c r="A39" s="3" t="s">
        <v>6</v>
      </c>
      <c r="B39" s="2">
        <f>$B$35-B30</f>
        <v>39</v>
      </c>
      <c r="C39" s="2">
        <f>$C$35-C30</f>
        <v>10</v>
      </c>
      <c r="D39" s="2">
        <f>$D$35-D30</f>
        <v>0</v>
      </c>
      <c r="E39" s="2">
        <f>$E$35-E30</f>
        <v>8</v>
      </c>
      <c r="F39" s="2">
        <f>MAX(B39:E39)</f>
        <v>39</v>
      </c>
    </row>
    <row r="40" spans="1:8" x14ac:dyDescent="0.3">
      <c r="A40" s="3" t="s">
        <v>7</v>
      </c>
      <c r="B40" s="2">
        <f t="shared" ref="B40:B43" si="2">$B$35-B31</f>
        <v>0</v>
      </c>
      <c r="C40" s="2">
        <f t="shared" ref="C40:C43" si="3">$C$35-C31</f>
        <v>13</v>
      </c>
      <c r="D40" s="2">
        <f t="shared" ref="D40:D43" si="4">$D$35-D31</f>
        <v>13</v>
      </c>
      <c r="E40" s="2">
        <f t="shared" ref="E40:E43" si="5">$E$35-E31</f>
        <v>0</v>
      </c>
      <c r="F40" s="7">
        <f t="shared" ref="F40:F43" si="6">MAX(B40:E40)</f>
        <v>13</v>
      </c>
      <c r="G40" s="10" t="s">
        <v>15</v>
      </c>
    </row>
    <row r="41" spans="1:8" x14ac:dyDescent="0.3">
      <c r="A41" s="3" t="s">
        <v>8</v>
      </c>
      <c r="B41" s="2">
        <f t="shared" si="2"/>
        <v>26</v>
      </c>
      <c r="C41" s="2">
        <f t="shared" si="3"/>
        <v>1</v>
      </c>
      <c r="D41" s="2">
        <f t="shared" si="4"/>
        <v>4</v>
      </c>
      <c r="E41" s="2">
        <f t="shared" si="5"/>
        <v>11</v>
      </c>
      <c r="F41" s="2">
        <f t="shared" si="6"/>
        <v>26</v>
      </c>
    </row>
    <row r="42" spans="1:8" x14ac:dyDescent="0.3">
      <c r="A42" s="3" t="s">
        <v>9</v>
      </c>
      <c r="B42" s="2">
        <f t="shared" si="2"/>
        <v>19</v>
      </c>
      <c r="C42" s="2">
        <f t="shared" si="3"/>
        <v>8</v>
      </c>
      <c r="D42" s="2">
        <f t="shared" si="4"/>
        <v>23</v>
      </c>
      <c r="E42" s="2">
        <f t="shared" si="5"/>
        <v>29</v>
      </c>
      <c r="F42" s="2">
        <f t="shared" si="6"/>
        <v>29</v>
      </c>
    </row>
    <row r="43" spans="1:8" x14ac:dyDescent="0.3">
      <c r="A43" s="3" t="s">
        <v>10</v>
      </c>
      <c r="B43" s="2">
        <f t="shared" si="2"/>
        <v>25</v>
      </c>
      <c r="C43" s="2">
        <f t="shared" si="3"/>
        <v>0</v>
      </c>
      <c r="D43" s="2">
        <f t="shared" si="4"/>
        <v>8</v>
      </c>
      <c r="E43" s="2">
        <f t="shared" si="5"/>
        <v>28</v>
      </c>
      <c r="F43" s="2">
        <f t="shared" si="6"/>
        <v>28</v>
      </c>
    </row>
    <row r="45" spans="1:8" x14ac:dyDescent="0.3">
      <c r="A45" s="20" t="s">
        <v>20</v>
      </c>
      <c r="B45" s="20"/>
      <c r="C45" s="20"/>
      <c r="D45" s="20"/>
      <c r="E45" s="20"/>
      <c r="F45" s="20"/>
      <c r="G45" s="20"/>
    </row>
    <row r="46" spans="1:8" x14ac:dyDescent="0.3">
      <c r="A46" s="14" t="s">
        <v>5</v>
      </c>
      <c r="B46" s="13" t="s">
        <v>0</v>
      </c>
      <c r="C46" s="13"/>
      <c r="D46" s="13"/>
      <c r="E46" s="13"/>
      <c r="F46" s="12" t="s">
        <v>22</v>
      </c>
      <c r="G46" s="7">
        <v>0.9</v>
      </c>
    </row>
    <row r="47" spans="1:8" x14ac:dyDescent="0.3">
      <c r="A47" s="15"/>
      <c r="B47" s="9" t="s">
        <v>1</v>
      </c>
      <c r="C47" s="9" t="s">
        <v>2</v>
      </c>
      <c r="D47" s="9" t="s">
        <v>3</v>
      </c>
      <c r="E47" s="9" t="s">
        <v>4</v>
      </c>
      <c r="F47" s="2" t="s">
        <v>21</v>
      </c>
      <c r="G47" s="2" t="s">
        <v>18</v>
      </c>
      <c r="H47" s="2" t="s">
        <v>23</v>
      </c>
    </row>
    <row r="48" spans="1:8" x14ac:dyDescent="0.3">
      <c r="A48" s="8" t="s">
        <v>6</v>
      </c>
      <c r="B48" s="2">
        <v>20</v>
      </c>
      <c r="C48" s="2">
        <v>26</v>
      </c>
      <c r="D48" s="2">
        <v>47</v>
      </c>
      <c r="E48" s="2">
        <v>35</v>
      </c>
      <c r="F48" s="2">
        <f>MIN(B48:E48)</f>
        <v>20</v>
      </c>
      <c r="G48" s="2">
        <f>MAX(B48:E48)</f>
        <v>47</v>
      </c>
      <c r="H48" s="2">
        <f>$G$46*G48+(1-$G$46)*F48</f>
        <v>44.300000000000004</v>
      </c>
    </row>
    <row r="49" spans="1:9" x14ac:dyDescent="0.3">
      <c r="A49" s="8" t="s">
        <v>7</v>
      </c>
      <c r="B49" s="2">
        <v>59</v>
      </c>
      <c r="C49" s="2">
        <v>23</v>
      </c>
      <c r="D49" s="2">
        <v>34</v>
      </c>
      <c r="E49" s="2">
        <v>43</v>
      </c>
      <c r="F49" s="2">
        <f t="shared" ref="F49:F52" si="7">MIN(B49:E49)</f>
        <v>23</v>
      </c>
      <c r="G49" s="2">
        <f t="shared" ref="G49:G52" si="8">MAX(B49:E49)</f>
        <v>59</v>
      </c>
      <c r="H49" s="7">
        <f t="shared" ref="H49:H52" si="9">$G$46*G49+(1-$G$46)*F49</f>
        <v>55.4</v>
      </c>
      <c r="I49" s="10" t="s">
        <v>15</v>
      </c>
    </row>
    <row r="50" spans="1:9" x14ac:dyDescent="0.3">
      <c r="A50" s="8" t="s">
        <v>8</v>
      </c>
      <c r="B50" s="2">
        <v>33</v>
      </c>
      <c r="C50" s="2">
        <v>35</v>
      </c>
      <c r="D50" s="2">
        <v>43</v>
      </c>
      <c r="E50" s="2">
        <v>32</v>
      </c>
      <c r="F50" s="2">
        <f t="shared" si="7"/>
        <v>32</v>
      </c>
      <c r="G50" s="2">
        <f t="shared" si="8"/>
        <v>43</v>
      </c>
      <c r="H50" s="2">
        <f t="shared" si="9"/>
        <v>41.900000000000006</v>
      </c>
    </row>
    <row r="51" spans="1:9" x14ac:dyDescent="0.3">
      <c r="A51" s="8" t="s">
        <v>9</v>
      </c>
      <c r="B51" s="2">
        <v>40</v>
      </c>
      <c r="C51" s="2">
        <v>28</v>
      </c>
      <c r="D51" s="2">
        <v>24</v>
      </c>
      <c r="E51" s="2">
        <v>14</v>
      </c>
      <c r="F51" s="2">
        <f t="shared" si="7"/>
        <v>14</v>
      </c>
      <c r="G51" s="2">
        <f t="shared" si="8"/>
        <v>40</v>
      </c>
      <c r="H51" s="2">
        <f t="shared" si="9"/>
        <v>37.4</v>
      </c>
    </row>
    <row r="52" spans="1:9" x14ac:dyDescent="0.3">
      <c r="A52" s="8" t="s">
        <v>10</v>
      </c>
      <c r="B52" s="2">
        <v>34</v>
      </c>
      <c r="C52" s="2">
        <v>36</v>
      </c>
      <c r="D52" s="2">
        <v>39</v>
      </c>
      <c r="E52" s="2">
        <v>15</v>
      </c>
      <c r="F52" s="2">
        <f t="shared" si="7"/>
        <v>15</v>
      </c>
      <c r="G52" s="2">
        <f t="shared" si="8"/>
        <v>39</v>
      </c>
      <c r="H52" s="2">
        <f t="shared" si="9"/>
        <v>36.6</v>
      </c>
    </row>
  </sheetData>
  <mergeCells count="17">
    <mergeCell ref="A37:A38"/>
    <mergeCell ref="B37:E37"/>
    <mergeCell ref="A46:A47"/>
    <mergeCell ref="B46:E46"/>
    <mergeCell ref="B1:E1"/>
    <mergeCell ref="A1:A2"/>
    <mergeCell ref="A10:A11"/>
    <mergeCell ref="B10:E10"/>
    <mergeCell ref="A45:G45"/>
    <mergeCell ref="F10:F11"/>
    <mergeCell ref="A9:G9"/>
    <mergeCell ref="A19:A20"/>
    <mergeCell ref="B19:E19"/>
    <mergeCell ref="A18:G18"/>
    <mergeCell ref="A27:G27"/>
    <mergeCell ref="A28:A29"/>
    <mergeCell ref="B28:E28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2026-03-06T14:12:45Z</dcterms:modified>
</cp:coreProperties>
</file>